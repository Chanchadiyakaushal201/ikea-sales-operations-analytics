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Data Analytics\Projects\IKEA_Sales_Operation_Analysis\Excel\"/>
    </mc:Choice>
  </mc:AlternateContent>
  <xr:revisionPtr revIDLastSave="0" documentId="13_ncr:1_{C62C44F9-B45A-464F-8076-2783E320801C}" xr6:coauthVersionLast="47" xr6:coauthVersionMax="47" xr10:uidLastSave="{00000000-0000-0000-0000-000000000000}"/>
  <bookViews>
    <workbookView xWindow="-108" yWindow="-108" windowWidth="23256" windowHeight="12456" xr2:uid="{A6A33539-1C8F-4B27-8EB4-34691B53B57D}"/>
  </bookViews>
  <sheets>
    <sheet name="Data_Dictionary" sheetId="1" r:id="rId1"/>
    <sheet name="Data_Quality_Check" sheetId="2" r:id="rId2"/>
    <sheet name="Basic_KPI_Check" sheetId="3" r:id="rId3"/>
    <sheet name="Notes"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<sst xmlns="http://schemas.openxmlformats.org/spreadsheetml/2006/main" count="350" uniqueCount="234">
  <si>
    <t>Table_Name</t>
  </si>
  <si>
    <t>Column_Name</t>
  </si>
  <si>
    <t>Description</t>
  </si>
  <si>
    <t>Data_Type</t>
  </si>
  <si>
    <t>Example_Value</t>
  </si>
  <si>
    <t>Cleaning_Notes</t>
  </si>
  <si>
    <t>customers</t>
  </si>
  <si>
    <t>Customer_ID</t>
  </si>
  <si>
    <t>Customer_Name</t>
  </si>
  <si>
    <t>Gender</t>
  </si>
  <si>
    <t>Age</t>
  </si>
  <si>
    <t>Age_Group</t>
  </si>
  <si>
    <t>City</t>
  </si>
  <si>
    <t>State</t>
  </si>
  <si>
    <t>Membership_Type</t>
  </si>
  <si>
    <t>Join_Date</t>
  </si>
  <si>
    <t>Unique customer ID</t>
  </si>
  <si>
    <t>Customer name</t>
  </si>
  <si>
    <t>Customer age</t>
  </si>
  <si>
    <t>Customer city</t>
  </si>
  <si>
    <t>Customer state</t>
  </si>
  <si>
    <t>Female/Male</t>
  </si>
  <si>
    <t>Customer membership_type</t>
  </si>
  <si>
    <t>Customer age_group</t>
  </si>
  <si>
    <t>Text</t>
  </si>
  <si>
    <t>Number</t>
  </si>
  <si>
    <t>Date</t>
  </si>
  <si>
    <t>CUST0001</t>
  </si>
  <si>
    <t>Male</t>
  </si>
  <si>
    <t>56+</t>
  </si>
  <si>
    <t>Delhi</t>
  </si>
  <si>
    <t>Family</t>
  </si>
  <si>
    <t>Primary Key</t>
  </si>
  <si>
    <t>Standardize names</t>
  </si>
  <si>
    <t>orders</t>
  </si>
  <si>
    <t>Order_ID</t>
  </si>
  <si>
    <t>Order_Date</t>
  </si>
  <si>
    <t>Product_ID</t>
  </si>
  <si>
    <t>Quantity</t>
  </si>
  <si>
    <t>Sales_Amount</t>
  </si>
  <si>
    <t>Discount</t>
  </si>
  <si>
    <t>Payment_Method</t>
  </si>
  <si>
    <t>Order_Status</t>
  </si>
  <si>
    <t>Unique order ID</t>
  </si>
  <si>
    <t>Date of customer join</t>
  </si>
  <si>
    <t>Date of order</t>
  </si>
  <si>
    <t>Customer ID</t>
  </si>
  <si>
    <t>Product ID</t>
  </si>
  <si>
    <t>Qty order</t>
  </si>
  <si>
    <t>Discount percentage</t>
  </si>
  <si>
    <t>ORD00001</t>
  </si>
  <si>
    <t>CUST0098</t>
  </si>
  <si>
    <t>PROD002</t>
  </si>
  <si>
    <t>UPI</t>
  </si>
  <si>
    <t>Cancelled</t>
  </si>
  <si>
    <t>Total sales amount</t>
  </si>
  <si>
    <t>Payment mode</t>
  </si>
  <si>
    <t>Order status</t>
  </si>
  <si>
    <t>products</t>
  </si>
  <si>
    <t>Product_Name</t>
  </si>
  <si>
    <t>Category</t>
  </si>
  <si>
    <t>Sub_Category</t>
  </si>
  <si>
    <t>MRP</t>
  </si>
  <si>
    <t>Cost</t>
  </si>
  <si>
    <t>Supplier</t>
  </si>
  <si>
    <t>Stock_On_Hand</t>
  </si>
  <si>
    <t>PROD001</t>
  </si>
  <si>
    <t>BRIMNES Mattresses</t>
  </si>
  <si>
    <t>Bedroom</t>
  </si>
  <si>
    <t>Mattresses</t>
  </si>
  <si>
    <t>Supplier East</t>
  </si>
  <si>
    <t>Unique product ID</t>
  </si>
  <si>
    <t>Product name</t>
  </si>
  <si>
    <t>Product category</t>
  </si>
  <si>
    <t>Product mrp</t>
  </si>
  <si>
    <t>Product cost</t>
  </si>
  <si>
    <t>Product supplier</t>
  </si>
  <si>
    <t>Product sub-category</t>
  </si>
  <si>
    <t>Product stock</t>
  </si>
  <si>
    <t>deliveries</t>
  </si>
  <si>
    <t>Delivery_ID</t>
  </si>
  <si>
    <t>Dispatch_Date</t>
  </si>
  <si>
    <t>Delivery_Date</t>
  </si>
  <si>
    <t>Carrier</t>
  </si>
  <si>
    <t>Delivery_Status</t>
  </si>
  <si>
    <t>DEL00001</t>
  </si>
  <si>
    <t>Ecom Express</t>
  </si>
  <si>
    <t>Delivered</t>
  </si>
  <si>
    <t>Unique delivery ID</t>
  </si>
  <si>
    <t>Date of dispatch</t>
  </si>
  <si>
    <t>Date of delivery</t>
  </si>
  <si>
    <t>Status of delivery</t>
  </si>
  <si>
    <t>Carrier name</t>
  </si>
  <si>
    <t>returns</t>
  </si>
  <si>
    <t>Return_ID</t>
  </si>
  <si>
    <t>Return_Date</t>
  </si>
  <si>
    <t>Return_Reason</t>
  </si>
  <si>
    <t>Refund_Amount</t>
  </si>
  <si>
    <t>RET0001</t>
  </si>
  <si>
    <t>ORD00008</t>
  </si>
  <si>
    <t>Damaged</t>
  </si>
  <si>
    <t>Unique return ID</t>
  </si>
  <si>
    <t>Order ID</t>
  </si>
  <si>
    <t>Date of return</t>
  </si>
  <si>
    <t>Reason of return</t>
  </si>
  <si>
    <t>Refund</t>
  </si>
  <si>
    <t>Reference order ID</t>
  </si>
  <si>
    <t>Remove extra spaces</t>
  </si>
  <si>
    <t>Check null values</t>
  </si>
  <si>
    <t>Validate values &gt;100</t>
  </si>
  <si>
    <t>Check negative values</t>
  </si>
  <si>
    <t>Standardize names, Check null values</t>
  </si>
  <si>
    <t>Dataset</t>
  </si>
  <si>
    <t>Check_Type</t>
  </si>
  <si>
    <t>Column</t>
  </si>
  <si>
    <t>Issue_Found</t>
  </si>
  <si>
    <t>Count</t>
  </si>
  <si>
    <t>Action_Plan</t>
  </si>
  <si>
    <t>Missing Values</t>
  </si>
  <si>
    <t>Blank city vaules</t>
  </si>
  <si>
    <t>Fill as Unknown</t>
  </si>
  <si>
    <t>Duplicates</t>
  </si>
  <si>
    <t>Duplicate customers</t>
  </si>
  <si>
    <t>Remove duplicates</t>
  </si>
  <si>
    <t>Text Standardization</t>
  </si>
  <si>
    <t>Ahemdabad, Bengaluru, mumbai</t>
  </si>
  <si>
    <t>Standardize city</t>
  </si>
  <si>
    <t>Duplicate orders</t>
  </si>
  <si>
    <t>Blank Payment_Method values</t>
  </si>
  <si>
    <t>Business Rule Validation</t>
  </si>
  <si>
    <t>Discount &gt; 100</t>
  </si>
  <si>
    <t>Validate and correct</t>
  </si>
  <si>
    <t>billy dining chairs, Hemnes Cabinets</t>
  </si>
  <si>
    <t>Outlier</t>
  </si>
  <si>
    <t>Negative &amp; Very high values</t>
  </si>
  <si>
    <t>Blank Delivery Date vaules</t>
  </si>
  <si>
    <t>Mark as Not Delivered/Unknown</t>
  </si>
  <si>
    <t>BlueDart, EcomExpress</t>
  </si>
  <si>
    <t>Standardize carrier</t>
  </si>
  <si>
    <t>Blank Return Reason</t>
  </si>
  <si>
    <t>Check/replace/remove</t>
  </si>
  <si>
    <t>Value</t>
  </si>
  <si>
    <t>Notes</t>
  </si>
  <si>
    <t>Total Revenue</t>
  </si>
  <si>
    <t>Total Orders</t>
  </si>
  <si>
    <t>Total Customers</t>
  </si>
  <si>
    <t>Total Products</t>
  </si>
  <si>
    <t>Average Order Value (AOV)</t>
  </si>
  <si>
    <t>Total QTY Sold</t>
  </si>
  <si>
    <t>Returned Orders</t>
  </si>
  <si>
    <t>Return Rate %</t>
  </si>
  <si>
    <t>Completed Orders %</t>
  </si>
  <si>
    <t>Delayed Deliveries %</t>
  </si>
  <si>
    <t>Tejus Gupta</t>
  </si>
  <si>
    <t>Formula Logic</t>
  </si>
  <si>
    <t>Delayed deliveries divided by total deliveries</t>
  </si>
  <si>
    <t>Delivered deliveries divided by total orders or total deliveries</t>
  </si>
  <si>
    <t>Shows total products catalog size.</t>
  </si>
  <si>
    <t>Shows average revenue per order.</t>
  </si>
  <si>
    <t>Shows total number of product units sold.</t>
  </si>
  <si>
    <t>Measures how much of the order volume resulted in returns</t>
  </si>
  <si>
    <t>Measures order fulfillment success.</t>
  </si>
  <si>
    <t>Shows delivery performance issue.</t>
  </si>
  <si>
    <t>Total Revenue divided by Total Orders</t>
  </si>
  <si>
    <t>Sum of all Quantity values</t>
  </si>
  <si>
    <t>Count all return records</t>
  </si>
  <si>
    <t>Count all non-empty Customer_ID values</t>
  </si>
  <si>
    <t>Sum of all Sales_Amount values</t>
  </si>
  <si>
    <t>Count of all non-empty Order_ID values</t>
  </si>
  <si>
    <t>Returned Orders divided by Total Orders</t>
  </si>
  <si>
    <t>Section</t>
  </si>
  <si>
    <t>Observation</t>
  </si>
  <si>
    <t>Impact</t>
  </si>
  <si>
    <t>Next Action</t>
  </si>
  <si>
    <t>Project Stage</t>
  </si>
  <si>
    <t>This Excel stage is used for initial data profiling 
and quick business understanding.</t>
  </si>
  <si>
    <t>KPI values are based on raw
 CSV data, not final cleaned data.</t>
  </si>
  <si>
    <t>Final KPI values will be recalculated 
after SQL/Python cleaning.</t>
  </si>
  <si>
    <t>Dataset Overview</t>
  </si>
  <si>
    <t>Five datasets are available: customers, orders, 
products, deliveries, and returns.</t>
  </si>
  <si>
    <t>These datasets cover customer, sales, product, 
delivery, and return information.</t>
  </si>
  <si>
    <t>Use relationships between datasets 
in SQL and Power BI later.</t>
  </si>
  <si>
    <t>Orders Data</t>
  </si>
  <si>
    <t>Customers Data</t>
  </si>
  <si>
    <t>Products Data</t>
  </si>
  <si>
    <t>Deliveries Data</t>
  </si>
  <si>
    <t>Returns Data</t>
  </si>
  <si>
    <t>Raw KPI Note</t>
  </si>
  <si>
    <t>Data Quality Note</t>
  </si>
  <si>
    <t>Revenue Note</t>
  </si>
  <si>
    <t>Next Stage</t>
  </si>
  <si>
    <t>Return Rate Note</t>
  </si>
  <si>
    <t>Delivery Note</t>
  </si>
  <si>
    <t>Orders data is used to calculate total orders, 
revenue, quantity sold, and average order value.</t>
  </si>
  <si>
    <t>Products data contains product/category information.</t>
  </si>
  <si>
    <t>After Excel profiling, the project will move to PostgreSQL.</t>
  </si>
  <si>
    <t>Deliveries data is used for completed orders 
and delayed delivery analysis.</t>
  </si>
  <si>
    <t>Returns data is used to calculate returned 
orders and return rate.</t>
  </si>
  <si>
    <t>Some columns may contain blanks, duplicates, inconsistent status names.</t>
  </si>
  <si>
    <t>Useful for product/category-level sales analysis.</t>
  </si>
  <si>
    <t>Helps measure operational performance.</t>
  </si>
  <si>
    <t>These issues can affect KPI accuracy.</t>
  </si>
  <si>
    <t>This is an initial estimate only.</t>
  </si>
  <si>
    <t>SQL will be used for structured cleaning, 
joins, and final KPI calculation.</t>
  </si>
  <si>
    <t>Helps understand product/order issues 
and customer dissatisfaction.</t>
  </si>
  <si>
    <t>Values may not be fully accurate 
for final reporting.</t>
  </si>
  <si>
    <t>Revenue may be overstated if returned 
or cancelled orders are included.</t>
  </si>
  <si>
    <t>Inconsistent status names can 
affect calculation.</t>
  </si>
  <si>
    <t>Completed and delayed delivery percentages 
depend on delivery status values.</t>
  </si>
  <si>
    <t>Revenue is calculated from the available 
sales amount column in orders data.</t>
  </si>
  <si>
    <t>Return rate is calculated as returned orders 
divided by total orders.</t>
  </si>
  <si>
    <t>Customers data is used to understand customer 
count and location details.</t>
  </si>
  <si>
    <t>Orders table is the main sales 
transaction dataset.</t>
  </si>
  <si>
    <t>Helps analyze sales by customer 
segment or geography later.</t>
  </si>
  <si>
    <t>Check duplicate customer IDs and missing city/region values.</t>
  </si>
  <si>
    <t>Check duplicate order IDs, missing values, and invalid revenue/quantity values.</t>
  </si>
  <si>
    <t>Check missing product names, categories, or prices.</t>
  </si>
  <si>
    <t>Check delivery status values and delivery date consistency.</t>
  </si>
  <si>
    <t>Check whether one order can have multiple return records.</t>
  </si>
  <si>
    <t>Recalculate KPIs after cleaning in SQL/Python stage.</t>
  </si>
  <si>
    <t>Document all issues in Data_Quality_Check sheet.</t>
  </si>
  <si>
    <t>Define final revenue logic in SQL stage.</t>
  </si>
  <si>
    <t>Confirm return relationship with orders table later.</t>
  </si>
  <si>
    <t>Standardize delivery status values during cleaning.</t>
  </si>
  <si>
    <t>Import CSV files into PostgreSQL and 
create cleaned tables/views.</t>
  </si>
  <si>
    <t>Basic KPI values are calculated directly
 from raw CSV files.</t>
  </si>
  <si>
    <t>This Notes sheet records initial observations from raw CSV profiling. The purpose is to understand the data before cleaning. 
Final business insights and KPIs will be created after SQL, Python, and Power BI stages.</t>
  </si>
  <si>
    <t>Shows total customer records include duplicates.</t>
  </si>
  <si>
    <t>Shows total number of customer orders include duplicates.</t>
  </si>
  <si>
    <t>Blank supplier vaules</t>
  </si>
  <si>
    <t>Metric</t>
  </si>
  <si>
    <t>Count all non-empty Product_ID values</t>
  </si>
  <si>
    <t>Shows total business sales values.</t>
  </si>
  <si>
    <t>Shows how many return records exists.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</si>
</sst>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72" formatCode="&quot;₹&quot;\ #,##0.00"/>
  </numFmts>
  <fonts count="7" x14ac:knownFonts="1">
    <font>
      <sz val="11"/>
      <color theme="1"/>
      <name val="Aptos Narrow"/>
      <family val="2"/>
      <scheme val="minor"/>
    </font>
    <font>
      <sz val="11"/>
      <color theme="1"/>
      <name val="Segoe UI"/>
      <family val="2"/>
    </font>
    <font>
      <strike/>
      <sz val="11"/>
      <color theme="1"/>
      <name val="Aptos Narrow"/>
      <family val="2"/>
      <scheme val="minor"/>
    </font>
    <font>
      <b/>
      <sz val="12"/>
      <color theme="1"/>
      <name val="Segoe UI"/>
      <family val="2"/>
    </font>
    <font>
      <b/>
      <sz val="12"/>
      <color rgb="FF0058A3"/>
      <name val="Segoe UI"/>
      <family val="2"/>
    </font>
    <font>
      <sz val="11"/>
      <color theme="1"/>
      <name val="Aptos Narrow"/>
      <family val="2"/>
      <scheme val="minor"/>
    </font>
    <font>
      <b/>
      <sz val="11"/>
      <color theme="1"/>
      <name val="Segoe UI"/>
      <family val="2"/>
    </font>
  </fonts>
  <fills count="3">
    <fill>
      <patternFill patternType="none"/>
    </fill>
    <fill>
      <patternFill patternType="gray125"/>
    </fill>
    <fill>
      <patternFill patternType="solid">
        <fgColor rgb="FFFFCC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s>
  <cellStyleXfs count="3">
    <xf numFmtId="0" fontId="0" fillId="0" borderId="0"/>
    <xf numFmtId="9" fontId="5" fillId="0" borderId="0" applyFont="0" applyFill="0" applyBorder="0" applyAlignment="0" applyProtection="0"/>
    <xf numFmtId="43" fontId="5" fillId="0" borderId="0" applyFont="0" applyFill="0" applyBorder="0" applyAlignment="0" applyProtection="0"/>
  </cellStyleXfs>
  <cellXfs count="19">
    <xf numFmtId="0" fontId="0" fillId="0" borderId="0" xfId="0"/>
    <xf numFmtId="0" fontId="2" fillId="0" borderId="0" xfId="0" applyFont="1"/>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1" xfId="0" applyFont="1" applyBorder="1" applyAlignment="1">
      <alignment horizontal="center" vertical="center"/>
    </xf>
    <xf numFmtId="0" fontId="3" fillId="0" borderId="0" xfId="0" applyFont="1" applyAlignment="1">
      <alignment horizontal="center"/>
    </xf>
    <xf numFmtId="0" fontId="1" fillId="0" borderId="0" xfId="0" applyFont="1"/>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1" fillId="0" borderId="5" xfId="0" applyFont="1" applyBorder="1" applyAlignment="1">
      <alignment horizontal="center"/>
    </xf>
    <xf numFmtId="9" fontId="1" fillId="0" borderId="0" xfId="1" applyFont="1"/>
    <xf numFmtId="9" fontId="1" fillId="0" borderId="1" xfId="1" applyFont="1" applyBorder="1" applyAlignment="1">
      <alignment horizontal="center"/>
    </xf>
    <xf numFmtId="0" fontId="6" fillId="0" borderId="0" xfId="0" applyFont="1" applyAlignment="1">
      <alignment horizontal="center"/>
    </xf>
    <xf numFmtId="0" fontId="1" fillId="0" borderId="1" xfId="0" applyFont="1" applyBorder="1" applyAlignment="1">
      <alignment horizontal="center" vertical="center" wrapText="1"/>
    </xf>
    <xf numFmtId="0" fontId="1" fillId="0" borderId="0" xfId="0" applyFont="1" applyAlignment="1">
      <alignment horizontal="center" wrapText="1"/>
    </xf>
    <xf numFmtId="0" fontId="6" fillId="0" borderId="0" xfId="0" applyFont="1" applyAlignment="1">
      <alignment horizontal="center" wrapText="1"/>
    </xf>
    <xf numFmtId="172" fontId="1" fillId="0" borderId="1" xfId="2" applyNumberFormat="1" applyFont="1" applyBorder="1" applyAlignment="1">
      <alignment horizontal="center"/>
    </xf>
    <xf numFmtId="1" fontId="1" fillId="0" borderId="1" xfId="2" applyNumberFormat="1" applyFont="1" applyBorder="1" applyAlignment="1">
      <alignment horizontal="center"/>
    </xf>
  </cellXfs>
  <cellStyles count="3">
    <cellStyle name="Comma" xfId="2" builtinId="3"/>
    <cellStyle name="Normal" xfId="0" builtinId="0"/>
    <cellStyle name="Percent" xfId="1" builtinId="5"/>
  </cellStyles>
  <dxfs count="32">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color rgb="FF9C0006"/>
      </font>
      <fill>
        <patternFill>
          <bgColor rgb="FFFFC7CE"/>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rgb="FF0058A3"/>
        <name val="Segoe UI"/>
        <family val="2"/>
        <scheme val="none"/>
      </font>
      <fill>
        <patternFill patternType="solid">
          <fgColor indexed="64"/>
          <bgColor rgb="FFFFCC00"/>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Segoe UI"/>
        <family val="2"/>
        <scheme val="none"/>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2"/>
        <color theme="1"/>
        <name val="Segoe UI"/>
        <family val="2"/>
        <scheme val="none"/>
      </font>
      <alignment horizontal="center" vertical="bottom" textRotation="0" wrapText="0" indent="0" justifyLastLine="0" shrinkToFit="0" readingOrder="0"/>
    </dxf>
    <dxf>
      <font>
        <color rgb="FF0058A3"/>
      </font>
      <fill>
        <patternFill>
          <bgColor rgb="FFFFCC00"/>
        </patternFill>
      </fill>
    </dxf>
  </dxfs>
  <tableStyles count="1" defaultTableStyle="TableStyleMedium2" defaultPivotStyle="PivotStyleLight16">
    <tableStyle name="Table Style 1" pivot="0" count="1" xr9:uid="{D3B08EEE-D418-4CC7-A49E-9E8EE12B23EE}">
      <tableStyleElement type="headerRow" dxfId="31"/>
    </tableStyle>
  </tableStyles>
  <colors>
    <mruColors>
      <color rgb="FFFFCC00"/>
      <color rgb="FF0058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D9B6A69-6558-4C8B-AF62-1A842809B0DB}" name="Table2" displayName="Table2" ref="A1:F38" totalsRowShown="0" headerRowDxfId="29" dataDxfId="28">
  <autoFilter ref="A1:F38" xr:uid="{DD9B6A69-6558-4C8B-AF62-1A842809B0DB}"/>
  <tableColumns count="6">
    <tableColumn id="1" xr3:uid="{DE57419A-46CE-4977-9E10-938B3CD17BF1}" name="Table_Name" dataDxfId="27"/>
    <tableColumn id="2" xr3:uid="{4E1226F6-140E-4539-BB1D-16826C54FE1D}" name="Column_Name" dataDxfId="26"/>
    <tableColumn id="3" xr3:uid="{5EF466D6-51DB-4EB0-8907-C456511AAAAE}" name="Description" dataDxfId="25"/>
    <tableColumn id="4" xr3:uid="{95049044-9EAE-4242-9A9B-89C41AD1E115}" name="Data_Type" dataDxfId="24"/>
    <tableColumn id="5" xr3:uid="{4C3718EA-0DAA-454C-9E0B-9EB5862E9773}" name="Example_Value" dataDxfId="23"/>
    <tableColumn id="6" xr3:uid="{7AB65F2D-B71C-4511-956D-4BFEFCEFFCD4}" name="Cleaning_Notes" dataDxfId="22"/>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3043FE-B0B6-4254-B3C9-0699A56F2136}" name="Table1" displayName="Table1" ref="A1:F13" totalsRowShown="0" headerRowDxfId="21" dataDxfId="19" headerRowBorderDxfId="20" tableBorderDxfId="18" totalsRowBorderDxfId="17">
  <autoFilter ref="A1:F13" xr:uid="{3A3043FE-B0B6-4254-B3C9-0699A56F2136}"/>
  <tableColumns count="6">
    <tableColumn id="1" xr3:uid="{74E3671A-95C9-4254-8BBD-54963F586F53}" name="Dataset" dataDxfId="16"/>
    <tableColumn id="2" xr3:uid="{11B2B3C7-5B27-48AF-83E3-52FCDB0D580C}" name="Check_Type" dataDxfId="15"/>
    <tableColumn id="3" xr3:uid="{D3E75112-B479-4F36-8529-0A88BDCB7416}" name="Column" dataDxfId="14"/>
    <tableColumn id="4" xr3:uid="{03DB6CF1-BB50-4B49-9ACB-34051C6B2F18}" name="Issue_Found" dataDxfId="13"/>
    <tableColumn id="5" xr3:uid="{66D0084B-561A-4A53-B16B-EAFCA184DD97}" name="Count" dataDxfId="12"/>
    <tableColumn id="6" xr3:uid="{F1860EF7-9E8D-473F-A31D-4A3458EA05C6}" name="Action_Plan" dataDxfId="1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BEFF95-56BF-4D3F-BA40-00E4F5B54358}" name="Table3" displayName="Table3" ref="A1:D11" totalsRowShown="0" headerRowDxfId="30" dataDxfId="0">
  <autoFilter ref="A1:D11" xr:uid="{67BEFF95-56BF-4D3F-BA40-00E4F5B54358}"/>
  <tableColumns count="4">
    <tableColumn id="1" xr3:uid="{CD303C7F-9E73-498B-BE31-7F8FF01B11D7}" name="Metric" dataDxfId="4"/>
    <tableColumn id="2" xr3:uid="{37F6B57A-191E-4EE3-81DA-29D57E740ECC}" name="Formula Logic" dataDxfId="3"/>
    <tableColumn id="3" xr3:uid="{32D3B8BF-FCE3-4F93-9B16-2EA23A06CFF1}" name="Value" dataDxfId="2" dataCellStyle="Percent"/>
    <tableColumn id="4" xr3:uid="{9132AAF2-422C-47C7-A06F-C6DF36D9F74D}" name="Notes" dataDxfId="1"/>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583632A-2314-45C9-AAC6-AA9FDFF16438}" name="Table4" displayName="Table4" ref="A4:D17" totalsRowShown="0" headerRowDxfId="10">
  <autoFilter ref="A4:D17" xr:uid="{A583632A-2314-45C9-AAC6-AA9FDFF16438}"/>
  <tableColumns count="4">
    <tableColumn id="1" xr3:uid="{905BF9AE-CAD7-462B-AAAB-697CF363DBB2}" name="Section" dataDxfId="9"/>
    <tableColumn id="2" xr3:uid="{5F0F53DB-A82D-4840-823C-B8CF4086B566}" name="Observation" dataDxfId="8"/>
    <tableColumn id="3" xr3:uid="{F9E29F2F-6550-40B7-822D-47AF2374E19D}" name="Impact" dataDxfId="7"/>
    <tableColumn id="4" xr3:uid="{A6182FDC-4A7F-4BD0-9930-5AA95FE248AC}" name="Next Action" dataDxfId="6"/>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97D86-8A21-4BBC-8308-C42C1041326C}">
  <sheetPr>
    <pageSetUpPr autoPageBreaks="0"/>
  </sheetPr>
  <dimension ref="A1:K38"/>
  <sheetViews>
    <sheetView tabSelected="1" zoomScale="99" zoomScaleNormal="99" workbookViewId="0"/>
  </sheetViews>
  <sheetFormatPr defaultRowHeight="14.4" x14ac:dyDescent="0.3"/>
  <cols>
    <col min="1" max="1" width="18.6640625" bestFit="1" customWidth="1"/>
    <col min="2" max="2" width="20.88671875" bestFit="1" customWidth="1"/>
    <col min="3" max="3" width="27.5546875" bestFit="1" customWidth="1"/>
    <col min="4" max="4" width="16.5546875" bestFit="1" customWidth="1"/>
    <col min="5" max="5" width="20.5546875" bestFit="1" customWidth="1"/>
    <col min="6" max="6" width="38.6640625" bestFit="1" customWidth="1"/>
  </cols>
  <sheetData>
    <row r="1" spans="1:11" ht="19.2" x14ac:dyDescent="0.45">
      <c r="A1" s="5" t="s">
        <v>0</v>
      </c>
      <c r="B1" s="5" t="s">
        <v>1</v>
      </c>
      <c r="C1" s="5" t="s">
        <v>2</v>
      </c>
      <c r="D1" s="5" t="s">
        <v>3</v>
      </c>
      <c r="E1" s="5" t="s">
        <v>4</v>
      </c>
      <c r="F1" s="5" t="s">
        <v>5</v>
      </c>
    </row>
    <row r="2" spans="1:11" ht="16.8" x14ac:dyDescent="0.4">
      <c r="A2" s="2" t="s">
        <v>6</v>
      </c>
      <c r="B2" s="2" t="s">
        <v>7</v>
      </c>
      <c r="C2" s="2" t="s">
        <v>16</v>
      </c>
      <c r="D2" s="2" t="s">
        <v>24</v>
      </c>
      <c r="E2" s="2" t="s">
        <v>27</v>
      </c>
      <c r="F2" s="2" t="s">
        <v>32</v>
      </c>
    </row>
    <row r="3" spans="1:11" ht="16.8" x14ac:dyDescent="0.4">
      <c r="A3" s="2" t="s">
        <v>6</v>
      </c>
      <c r="B3" s="2" t="s">
        <v>8</v>
      </c>
      <c r="C3" s="2" t="s">
        <v>17</v>
      </c>
      <c r="D3" s="2" t="s">
        <v>24</v>
      </c>
      <c r="E3" s="2" t="s">
        <v>153</v>
      </c>
      <c r="F3" s="2" t="s">
        <v>107</v>
      </c>
    </row>
    <row r="4" spans="1:11" ht="16.8" x14ac:dyDescent="0.4">
      <c r="A4" s="2" t="s">
        <v>6</v>
      </c>
      <c r="B4" s="2" t="s">
        <v>9</v>
      </c>
      <c r="C4" s="2" t="s">
        <v>21</v>
      </c>
      <c r="D4" s="2" t="s">
        <v>24</v>
      </c>
      <c r="E4" s="2" t="s">
        <v>28</v>
      </c>
      <c r="F4" s="2"/>
    </row>
    <row r="5" spans="1:11" ht="16.8" x14ac:dyDescent="0.4">
      <c r="A5" s="2" t="s">
        <v>6</v>
      </c>
      <c r="B5" s="2" t="s">
        <v>10</v>
      </c>
      <c r="C5" s="2" t="s">
        <v>18</v>
      </c>
      <c r="D5" s="2" t="s">
        <v>25</v>
      </c>
      <c r="E5" s="2">
        <v>58</v>
      </c>
      <c r="F5" s="2"/>
    </row>
    <row r="6" spans="1:11" ht="16.8" x14ac:dyDescent="0.4">
      <c r="A6" s="2" t="s">
        <v>6</v>
      </c>
      <c r="B6" s="2" t="s">
        <v>11</v>
      </c>
      <c r="C6" s="2" t="s">
        <v>23</v>
      </c>
      <c r="D6" s="2" t="s">
        <v>24</v>
      </c>
      <c r="E6" s="2" t="s">
        <v>29</v>
      </c>
      <c r="F6" s="2"/>
    </row>
    <row r="7" spans="1:11" ht="16.8" x14ac:dyDescent="0.4">
      <c r="A7" s="2" t="s">
        <v>6</v>
      </c>
      <c r="B7" s="2" t="s">
        <v>12</v>
      </c>
      <c r="C7" s="2" t="s">
        <v>19</v>
      </c>
      <c r="D7" s="2" t="s">
        <v>24</v>
      </c>
      <c r="E7" s="2" t="s">
        <v>30</v>
      </c>
      <c r="F7" s="2" t="s">
        <v>111</v>
      </c>
    </row>
    <row r="8" spans="1:11" ht="16.8" x14ac:dyDescent="0.4">
      <c r="A8" s="2" t="s">
        <v>6</v>
      </c>
      <c r="B8" s="2" t="s">
        <v>13</v>
      </c>
      <c r="C8" s="2" t="s">
        <v>20</v>
      </c>
      <c r="D8" s="2" t="s">
        <v>24</v>
      </c>
      <c r="E8" s="2" t="s">
        <v>30</v>
      </c>
      <c r="F8" s="2"/>
    </row>
    <row r="9" spans="1:11" ht="16.8" x14ac:dyDescent="0.4">
      <c r="A9" s="2" t="s">
        <v>6</v>
      </c>
      <c r="B9" s="2" t="s">
        <v>14</v>
      </c>
      <c r="C9" s="2" t="s">
        <v>22</v>
      </c>
      <c r="D9" s="2" t="s">
        <v>24</v>
      </c>
      <c r="E9" s="2" t="s">
        <v>31</v>
      </c>
      <c r="F9" s="2"/>
    </row>
    <row r="10" spans="1:11" ht="16.8" x14ac:dyDescent="0.4">
      <c r="A10" s="2" t="s">
        <v>6</v>
      </c>
      <c r="B10" s="2" t="s">
        <v>15</v>
      </c>
      <c r="C10" s="2" t="s">
        <v>44</v>
      </c>
      <c r="D10" s="2" t="s">
        <v>26</v>
      </c>
      <c r="E10" s="2">
        <v>44978</v>
      </c>
      <c r="F10" s="2"/>
    </row>
    <row r="11" spans="1:11" ht="16.8" x14ac:dyDescent="0.4">
      <c r="A11" s="2" t="s">
        <v>34</v>
      </c>
      <c r="B11" s="2" t="s">
        <v>35</v>
      </c>
      <c r="C11" s="2" t="s">
        <v>43</v>
      </c>
      <c r="D11" s="2" t="s">
        <v>24</v>
      </c>
      <c r="E11" s="2" t="s">
        <v>50</v>
      </c>
      <c r="F11" s="2" t="s">
        <v>32</v>
      </c>
    </row>
    <row r="12" spans="1:11" ht="16.8" x14ac:dyDescent="0.4">
      <c r="A12" s="2" t="s">
        <v>34</v>
      </c>
      <c r="B12" s="2" t="s">
        <v>36</v>
      </c>
      <c r="C12" s="2" t="s">
        <v>45</v>
      </c>
      <c r="D12" s="2" t="s">
        <v>26</v>
      </c>
      <c r="E12" s="3">
        <v>45835</v>
      </c>
      <c r="F12" s="2"/>
    </row>
    <row r="13" spans="1:11" ht="16.8" x14ac:dyDescent="0.4">
      <c r="A13" s="2" t="s">
        <v>34</v>
      </c>
      <c r="B13" s="2" t="s">
        <v>7</v>
      </c>
      <c r="C13" s="2" t="s">
        <v>46</v>
      </c>
      <c r="D13" s="2" t="s">
        <v>24</v>
      </c>
      <c r="E13" s="2" t="s">
        <v>51</v>
      </c>
      <c r="F13" s="2"/>
      <c r="K13" s="6"/>
    </row>
    <row r="14" spans="1:11" ht="16.8" x14ac:dyDescent="0.4">
      <c r="A14" s="2" t="s">
        <v>34</v>
      </c>
      <c r="B14" s="2" t="s">
        <v>37</v>
      </c>
      <c r="C14" s="2" t="s">
        <v>47</v>
      </c>
      <c r="D14" s="2" t="s">
        <v>24</v>
      </c>
      <c r="E14" s="2" t="s">
        <v>52</v>
      </c>
      <c r="F14" s="2"/>
    </row>
    <row r="15" spans="1:11" ht="16.8" x14ac:dyDescent="0.4">
      <c r="A15" s="2" t="s">
        <v>34</v>
      </c>
      <c r="B15" s="2" t="s">
        <v>38</v>
      </c>
      <c r="C15" s="2" t="s">
        <v>48</v>
      </c>
      <c r="D15" s="2" t="s">
        <v>25</v>
      </c>
      <c r="E15" s="2">
        <v>4</v>
      </c>
      <c r="F15" s="2"/>
    </row>
    <row r="16" spans="1:11" ht="16.8" x14ac:dyDescent="0.4">
      <c r="A16" s="2" t="s">
        <v>34</v>
      </c>
      <c r="B16" s="2" t="s">
        <v>39</v>
      </c>
      <c r="C16" s="4" t="s">
        <v>55</v>
      </c>
      <c r="D16" s="2" t="s">
        <v>25</v>
      </c>
      <c r="E16" s="2">
        <v>24799.599999999999</v>
      </c>
      <c r="F16" s="2"/>
    </row>
    <row r="17" spans="1:8" ht="16.8" x14ac:dyDescent="0.4">
      <c r="A17" s="2" t="s">
        <v>34</v>
      </c>
      <c r="B17" s="2" t="s">
        <v>40</v>
      </c>
      <c r="C17" s="4" t="s">
        <v>49</v>
      </c>
      <c r="D17" s="2" t="s">
        <v>25</v>
      </c>
      <c r="E17" s="2">
        <v>30</v>
      </c>
      <c r="F17" s="2" t="s">
        <v>109</v>
      </c>
    </row>
    <row r="18" spans="1:8" ht="16.8" x14ac:dyDescent="0.4">
      <c r="A18" s="2" t="s">
        <v>34</v>
      </c>
      <c r="B18" s="2" t="s">
        <v>41</v>
      </c>
      <c r="C18" s="4" t="s">
        <v>56</v>
      </c>
      <c r="D18" s="2" t="s">
        <v>24</v>
      </c>
      <c r="E18" s="2" t="s">
        <v>53</v>
      </c>
      <c r="F18" s="2" t="s">
        <v>108</v>
      </c>
    </row>
    <row r="19" spans="1:8" ht="16.8" x14ac:dyDescent="0.4">
      <c r="A19" s="2" t="s">
        <v>34</v>
      </c>
      <c r="B19" s="2" t="s">
        <v>42</v>
      </c>
      <c r="C19" s="2" t="s">
        <v>57</v>
      </c>
      <c r="D19" s="2" t="s">
        <v>24</v>
      </c>
      <c r="E19" s="2" t="s">
        <v>54</v>
      </c>
      <c r="F19" s="2"/>
    </row>
    <row r="20" spans="1:8" ht="16.8" x14ac:dyDescent="0.4">
      <c r="A20" s="2" t="s">
        <v>58</v>
      </c>
      <c r="B20" s="2" t="s">
        <v>37</v>
      </c>
      <c r="C20" s="2" t="s">
        <v>71</v>
      </c>
      <c r="D20" s="2" t="s">
        <v>24</v>
      </c>
      <c r="E20" s="2" t="s">
        <v>66</v>
      </c>
      <c r="F20" s="2" t="s">
        <v>32</v>
      </c>
    </row>
    <row r="21" spans="1:8" ht="16.8" x14ac:dyDescent="0.4">
      <c r="A21" s="2" t="s">
        <v>58</v>
      </c>
      <c r="B21" s="2" t="s">
        <v>59</v>
      </c>
      <c r="C21" s="2" t="s">
        <v>72</v>
      </c>
      <c r="D21" s="2" t="s">
        <v>24</v>
      </c>
      <c r="E21" s="2" t="s">
        <v>67</v>
      </c>
      <c r="F21" s="2" t="s">
        <v>33</v>
      </c>
    </row>
    <row r="22" spans="1:8" ht="16.8" x14ac:dyDescent="0.4">
      <c r="A22" s="2" t="s">
        <v>58</v>
      </c>
      <c r="B22" s="2" t="s">
        <v>60</v>
      </c>
      <c r="C22" s="2" t="s">
        <v>73</v>
      </c>
      <c r="D22" s="2" t="s">
        <v>24</v>
      </c>
      <c r="E22" s="2" t="s">
        <v>68</v>
      </c>
      <c r="F22" s="2"/>
    </row>
    <row r="23" spans="1:8" ht="16.8" x14ac:dyDescent="0.4">
      <c r="A23" s="2" t="s">
        <v>58</v>
      </c>
      <c r="B23" s="2" t="s">
        <v>61</v>
      </c>
      <c r="C23" s="2" t="s">
        <v>77</v>
      </c>
      <c r="D23" s="2" t="s">
        <v>24</v>
      </c>
      <c r="E23" s="2" t="s">
        <v>69</v>
      </c>
      <c r="F23" s="2"/>
      <c r="H23" s="1"/>
    </row>
    <row r="24" spans="1:8" ht="16.8" x14ac:dyDescent="0.4">
      <c r="A24" s="2" t="s">
        <v>58</v>
      </c>
      <c r="B24" s="2" t="s">
        <v>62</v>
      </c>
      <c r="C24" s="2" t="s">
        <v>74</v>
      </c>
      <c r="D24" s="2" t="s">
        <v>25</v>
      </c>
      <c r="E24" s="2">
        <v>24479</v>
      </c>
      <c r="F24" s="2"/>
    </row>
    <row r="25" spans="1:8" ht="16.8" x14ac:dyDescent="0.4">
      <c r="A25" s="2" t="s">
        <v>58</v>
      </c>
      <c r="B25" s="2" t="s">
        <v>63</v>
      </c>
      <c r="C25" s="2" t="s">
        <v>75</v>
      </c>
      <c r="D25" s="2" t="s">
        <v>25</v>
      </c>
      <c r="E25" s="2">
        <v>18099.54</v>
      </c>
      <c r="F25" s="2"/>
    </row>
    <row r="26" spans="1:8" ht="16.8" x14ac:dyDescent="0.4">
      <c r="A26" s="2" t="s">
        <v>58</v>
      </c>
      <c r="B26" s="2" t="s">
        <v>64</v>
      </c>
      <c r="C26" s="2" t="s">
        <v>76</v>
      </c>
      <c r="D26" s="2" t="s">
        <v>24</v>
      </c>
      <c r="E26" s="2" t="s">
        <v>70</v>
      </c>
      <c r="F26" s="2" t="s">
        <v>108</v>
      </c>
    </row>
    <row r="27" spans="1:8" ht="16.8" x14ac:dyDescent="0.4">
      <c r="A27" s="2" t="s">
        <v>58</v>
      </c>
      <c r="B27" s="2" t="s">
        <v>65</v>
      </c>
      <c r="C27" s="2" t="s">
        <v>78</v>
      </c>
      <c r="D27" s="2" t="s">
        <v>25</v>
      </c>
      <c r="E27" s="2">
        <v>167</v>
      </c>
      <c r="F27" s="2" t="s">
        <v>110</v>
      </c>
    </row>
    <row r="28" spans="1:8" ht="16.8" x14ac:dyDescent="0.4">
      <c r="A28" s="2" t="s">
        <v>79</v>
      </c>
      <c r="B28" s="2" t="s">
        <v>80</v>
      </c>
      <c r="C28" s="2" t="s">
        <v>88</v>
      </c>
      <c r="D28" s="2" t="s">
        <v>24</v>
      </c>
      <c r="E28" s="2" t="s">
        <v>85</v>
      </c>
      <c r="F28" s="2" t="s">
        <v>32</v>
      </c>
    </row>
    <row r="29" spans="1:8" ht="16.8" x14ac:dyDescent="0.4">
      <c r="A29" s="2" t="s">
        <v>79</v>
      </c>
      <c r="B29" s="2" t="s">
        <v>35</v>
      </c>
      <c r="C29" s="2" t="s">
        <v>106</v>
      </c>
      <c r="D29" s="2" t="s">
        <v>24</v>
      </c>
      <c r="E29" s="2" t="s">
        <v>50</v>
      </c>
      <c r="F29" s="2"/>
    </row>
    <row r="30" spans="1:8" ht="16.8" x14ac:dyDescent="0.4">
      <c r="A30" s="2" t="s">
        <v>79</v>
      </c>
      <c r="B30" s="2" t="s">
        <v>81</v>
      </c>
      <c r="C30" s="2" t="s">
        <v>89</v>
      </c>
      <c r="D30" s="2" t="s">
        <v>26</v>
      </c>
      <c r="E30" s="3">
        <v>45836</v>
      </c>
      <c r="F30" s="2"/>
    </row>
    <row r="31" spans="1:8" ht="16.8" x14ac:dyDescent="0.4">
      <c r="A31" s="2" t="s">
        <v>79</v>
      </c>
      <c r="B31" s="2" t="s">
        <v>82</v>
      </c>
      <c r="C31" s="2" t="s">
        <v>90</v>
      </c>
      <c r="D31" s="2" t="s">
        <v>26</v>
      </c>
      <c r="E31" s="3">
        <v>45841</v>
      </c>
      <c r="F31" s="2" t="s">
        <v>108</v>
      </c>
    </row>
    <row r="32" spans="1:8" ht="16.8" x14ac:dyDescent="0.4">
      <c r="A32" s="2" t="s">
        <v>79</v>
      </c>
      <c r="B32" s="2" t="s">
        <v>83</v>
      </c>
      <c r="C32" s="2" t="s">
        <v>92</v>
      </c>
      <c r="D32" s="2" t="s">
        <v>24</v>
      </c>
      <c r="E32" s="2" t="s">
        <v>86</v>
      </c>
      <c r="F32" s="2" t="s">
        <v>33</v>
      </c>
    </row>
    <row r="33" spans="1:6" ht="16.8" x14ac:dyDescent="0.4">
      <c r="A33" s="2" t="s">
        <v>79</v>
      </c>
      <c r="B33" s="2" t="s">
        <v>84</v>
      </c>
      <c r="C33" s="2" t="s">
        <v>91</v>
      </c>
      <c r="D33" s="2" t="s">
        <v>24</v>
      </c>
      <c r="E33" s="2" t="s">
        <v>87</v>
      </c>
      <c r="F33" s="2"/>
    </row>
    <row r="34" spans="1:6" ht="16.8" x14ac:dyDescent="0.4">
      <c r="A34" s="2" t="s">
        <v>93</v>
      </c>
      <c r="B34" s="2" t="s">
        <v>94</v>
      </c>
      <c r="C34" s="2" t="s">
        <v>101</v>
      </c>
      <c r="D34" s="2" t="s">
        <v>24</v>
      </c>
      <c r="E34" s="2" t="s">
        <v>98</v>
      </c>
      <c r="F34" s="2" t="s">
        <v>32</v>
      </c>
    </row>
    <row r="35" spans="1:6" ht="16.8" x14ac:dyDescent="0.4">
      <c r="A35" s="2" t="s">
        <v>93</v>
      </c>
      <c r="B35" s="2" t="s">
        <v>35</v>
      </c>
      <c r="C35" s="2" t="s">
        <v>102</v>
      </c>
      <c r="D35" s="2" t="s">
        <v>24</v>
      </c>
      <c r="E35" s="2" t="s">
        <v>99</v>
      </c>
      <c r="F35" s="2"/>
    </row>
    <row r="36" spans="1:6" ht="16.8" x14ac:dyDescent="0.4">
      <c r="A36" s="2" t="s">
        <v>93</v>
      </c>
      <c r="B36" s="2" t="s">
        <v>95</v>
      </c>
      <c r="C36" s="2" t="s">
        <v>103</v>
      </c>
      <c r="D36" s="2" t="s">
        <v>26</v>
      </c>
      <c r="E36" s="3">
        <v>45352</v>
      </c>
      <c r="F36" s="2"/>
    </row>
    <row r="37" spans="1:6" ht="16.8" x14ac:dyDescent="0.4">
      <c r="A37" s="2" t="s">
        <v>93</v>
      </c>
      <c r="B37" s="2" t="s">
        <v>96</v>
      </c>
      <c r="C37" s="2" t="s">
        <v>104</v>
      </c>
      <c r="D37" s="2" t="s">
        <v>24</v>
      </c>
      <c r="E37" s="2" t="s">
        <v>100</v>
      </c>
      <c r="F37" s="2" t="s">
        <v>108</v>
      </c>
    </row>
    <row r="38" spans="1:6" ht="16.8" x14ac:dyDescent="0.4">
      <c r="A38" s="2" t="s">
        <v>93</v>
      </c>
      <c r="B38" s="2" t="s">
        <v>97</v>
      </c>
      <c r="C38" s="2" t="s">
        <v>105</v>
      </c>
      <c r="D38" s="2" t="s">
        <v>25</v>
      </c>
      <c r="E38" s="2">
        <v>18913.310000000001</v>
      </c>
      <c r="F38" s="2"/>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E60E7-106F-4C65-A357-C7861EC296DF}">
  <dimension ref="A1:F13"/>
  <sheetViews>
    <sheetView workbookViewId="0"/>
  </sheetViews>
  <sheetFormatPr defaultRowHeight="14.4" x14ac:dyDescent="0.3"/>
  <cols>
    <col min="1" max="1" width="13.5546875" bestFit="1" customWidth="1"/>
    <col min="2" max="2" width="22.44140625" bestFit="1" customWidth="1"/>
    <col min="3" max="3" width="16.5546875" bestFit="1" customWidth="1"/>
    <col min="4" max="4" width="33.109375" bestFit="1" customWidth="1"/>
    <col min="5" max="5" width="10.21875" customWidth="1"/>
    <col min="6" max="6" width="30.21875" bestFit="1" customWidth="1"/>
  </cols>
  <sheetData>
    <row r="1" spans="1:6" ht="19.2" x14ac:dyDescent="0.45">
      <c r="A1" s="7" t="s">
        <v>112</v>
      </c>
      <c r="B1" s="8" t="s">
        <v>113</v>
      </c>
      <c r="C1" s="8" t="s">
        <v>114</v>
      </c>
      <c r="D1" s="8" t="s">
        <v>115</v>
      </c>
      <c r="E1" s="8" t="s">
        <v>116</v>
      </c>
      <c r="F1" s="9" t="s">
        <v>117</v>
      </c>
    </row>
    <row r="2" spans="1:6" ht="16.8" x14ac:dyDescent="0.4">
      <c r="A2" s="10" t="s">
        <v>6</v>
      </c>
      <c r="B2" s="10" t="s">
        <v>118</v>
      </c>
      <c r="C2" s="10" t="s">
        <v>12</v>
      </c>
      <c r="D2" s="10" t="s">
        <v>119</v>
      </c>
      <c r="E2" s="10">
        <v>5</v>
      </c>
      <c r="F2" s="10" t="s">
        <v>120</v>
      </c>
    </row>
    <row r="3" spans="1:6" ht="16.8" x14ac:dyDescent="0.4">
      <c r="A3" s="10" t="s">
        <v>6</v>
      </c>
      <c r="B3" s="10" t="s">
        <v>121</v>
      </c>
      <c r="C3" s="10" t="s">
        <v>7</v>
      </c>
      <c r="D3" s="10" t="s">
        <v>122</v>
      </c>
      <c r="E3" s="10">
        <v>5</v>
      </c>
      <c r="F3" s="10" t="s">
        <v>123</v>
      </c>
    </row>
    <row r="4" spans="1:6" ht="16.8" x14ac:dyDescent="0.4">
      <c r="A4" s="10" t="s">
        <v>6</v>
      </c>
      <c r="B4" s="10" t="s">
        <v>124</v>
      </c>
      <c r="C4" s="10" t="s">
        <v>12</v>
      </c>
      <c r="D4" s="10" t="s">
        <v>125</v>
      </c>
      <c r="E4" s="10">
        <v>3</v>
      </c>
      <c r="F4" s="10" t="s">
        <v>126</v>
      </c>
    </row>
    <row r="5" spans="1:6" ht="16.8" x14ac:dyDescent="0.4">
      <c r="A5" s="10" t="s">
        <v>34</v>
      </c>
      <c r="B5" s="10" t="s">
        <v>121</v>
      </c>
      <c r="C5" s="10" t="s">
        <v>35</v>
      </c>
      <c r="D5" s="10" t="s">
        <v>127</v>
      </c>
      <c r="E5" s="10">
        <v>5</v>
      </c>
      <c r="F5" s="10" t="s">
        <v>123</v>
      </c>
    </row>
    <row r="6" spans="1:6" ht="16.8" x14ac:dyDescent="0.4">
      <c r="A6" s="10" t="s">
        <v>34</v>
      </c>
      <c r="B6" s="10" t="s">
        <v>118</v>
      </c>
      <c r="C6" s="10" t="s">
        <v>41</v>
      </c>
      <c r="D6" s="10" t="s">
        <v>128</v>
      </c>
      <c r="E6" s="10">
        <v>5</v>
      </c>
      <c r="F6" s="10" t="s">
        <v>120</v>
      </c>
    </row>
    <row r="7" spans="1:6" ht="16.8" x14ac:dyDescent="0.4">
      <c r="A7" s="10" t="s">
        <v>34</v>
      </c>
      <c r="B7" s="10" t="s">
        <v>129</v>
      </c>
      <c r="C7" s="10" t="s">
        <v>40</v>
      </c>
      <c r="D7" s="10" t="s">
        <v>130</v>
      </c>
      <c r="E7" s="10">
        <v>4</v>
      </c>
      <c r="F7" s="10" t="s">
        <v>131</v>
      </c>
    </row>
    <row r="8" spans="1:6" ht="16.8" x14ac:dyDescent="0.4">
      <c r="A8" s="10" t="s">
        <v>58</v>
      </c>
      <c r="B8" s="10" t="s">
        <v>124</v>
      </c>
      <c r="C8" s="10" t="s">
        <v>59</v>
      </c>
      <c r="D8" s="10" t="s">
        <v>132</v>
      </c>
      <c r="E8" s="10">
        <v>2</v>
      </c>
      <c r="F8" s="10" t="s">
        <v>33</v>
      </c>
    </row>
    <row r="9" spans="1:6" ht="16.8" x14ac:dyDescent="0.4">
      <c r="A9" s="10" t="s">
        <v>58</v>
      </c>
      <c r="B9" s="10" t="s">
        <v>118</v>
      </c>
      <c r="C9" s="10" t="s">
        <v>64</v>
      </c>
      <c r="D9" s="10" t="s">
        <v>229</v>
      </c>
      <c r="E9" s="10">
        <v>5</v>
      </c>
      <c r="F9" s="10" t="s">
        <v>120</v>
      </c>
    </row>
    <row r="10" spans="1:6" ht="16.8" x14ac:dyDescent="0.4">
      <c r="A10" s="10" t="s">
        <v>58</v>
      </c>
      <c r="B10" s="10" t="s">
        <v>133</v>
      </c>
      <c r="C10" s="10" t="s">
        <v>65</v>
      </c>
      <c r="D10" s="10" t="s">
        <v>134</v>
      </c>
      <c r="E10" s="10">
        <v>5</v>
      </c>
      <c r="F10" s="10" t="s">
        <v>140</v>
      </c>
    </row>
    <row r="11" spans="1:6" ht="16.8" x14ac:dyDescent="0.4">
      <c r="A11" s="10" t="s">
        <v>79</v>
      </c>
      <c r="B11" s="10" t="s">
        <v>118</v>
      </c>
      <c r="C11" s="10" t="s">
        <v>82</v>
      </c>
      <c r="D11" s="10" t="s">
        <v>135</v>
      </c>
      <c r="E11" s="10">
        <v>5</v>
      </c>
      <c r="F11" s="10" t="s">
        <v>136</v>
      </c>
    </row>
    <row r="12" spans="1:6" ht="16.8" x14ac:dyDescent="0.4">
      <c r="A12" s="10" t="s">
        <v>79</v>
      </c>
      <c r="B12" s="10" t="s">
        <v>124</v>
      </c>
      <c r="C12" s="10" t="s">
        <v>83</v>
      </c>
      <c r="D12" s="10" t="s">
        <v>137</v>
      </c>
      <c r="E12" s="10">
        <v>2</v>
      </c>
      <c r="F12" s="10" t="s">
        <v>138</v>
      </c>
    </row>
    <row r="13" spans="1:6" ht="16.8" x14ac:dyDescent="0.4">
      <c r="A13" s="10" t="s">
        <v>93</v>
      </c>
      <c r="B13" s="10" t="s">
        <v>118</v>
      </c>
      <c r="C13" s="10" t="s">
        <v>96</v>
      </c>
      <c r="D13" s="10" t="s">
        <v>139</v>
      </c>
      <c r="E13" s="10">
        <v>5</v>
      </c>
      <c r="F13" s="10" t="s">
        <v>120</v>
      </c>
    </row>
  </sheetData>
  <conditionalFormatting sqref="C5">
    <cfRule type="duplicateValues" dxfId="5"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68BF4-2F5C-4FDE-94AD-2CE275DD64A3}">
  <dimension ref="A1:F11"/>
  <sheetViews>
    <sheetView workbookViewId="0"/>
  </sheetViews>
  <sheetFormatPr defaultRowHeight="16.8" x14ac:dyDescent="0.4"/>
  <cols>
    <col min="1" max="1" width="25.44140625" style="6" bestFit="1" customWidth="1"/>
    <col min="2" max="2" width="55.44140625" style="6" bestFit="1" customWidth="1"/>
    <col min="3" max="3" width="16.77734375" style="6" bestFit="1" customWidth="1"/>
    <col min="4" max="4" width="54.88671875" style="6" bestFit="1" customWidth="1"/>
    <col min="5" max="16384" width="8.88671875" style="6"/>
  </cols>
  <sheetData>
    <row r="1" spans="1:6" ht="19.2" x14ac:dyDescent="0.45">
      <c r="A1" s="5" t="s">
        <v>230</v>
      </c>
      <c r="B1" s="5" t="s">
        <v>154</v>
      </c>
      <c r="C1" s="5" t="s">
        <v>141</v>
      </c>
      <c r="D1" s="5" t="s">
        <v>142</v>
      </c>
    </row>
    <row r="2" spans="1:6" x14ac:dyDescent="0.4">
      <c r="A2" s="2" t="s">
        <v>144</v>
      </c>
      <c r="B2" s="2" t="s">
        <v>168</v>
      </c>
      <c r="C2" s="18">
        <v>5005</v>
      </c>
      <c r="D2" s="2" t="s">
        <v>228</v>
      </c>
    </row>
    <row r="3" spans="1:6" x14ac:dyDescent="0.4">
      <c r="A3" s="2" t="s">
        <v>143</v>
      </c>
      <c r="B3" s="2" t="s">
        <v>167</v>
      </c>
      <c r="C3" s="17">
        <v>190278318.79999983</v>
      </c>
      <c r="D3" s="2" t="s">
        <v>232</v>
      </c>
    </row>
    <row r="4" spans="1:6" x14ac:dyDescent="0.4">
      <c r="A4" s="2" t="s">
        <v>145</v>
      </c>
      <c r="B4" s="2" t="s">
        <v>166</v>
      </c>
      <c r="C4" s="2">
        <v>505</v>
      </c>
      <c r="D4" s="2" t="s">
        <v>227</v>
      </c>
    </row>
    <row r="5" spans="1:6" x14ac:dyDescent="0.4">
      <c r="A5" s="2" t="s">
        <v>146</v>
      </c>
      <c r="B5" s="2" t="s">
        <v>231</v>
      </c>
      <c r="C5" s="2">
        <v>100</v>
      </c>
      <c r="D5" s="2" t="s">
        <v>157</v>
      </c>
    </row>
    <row r="6" spans="1:6" x14ac:dyDescent="0.4">
      <c r="A6" s="2" t="s">
        <v>147</v>
      </c>
      <c r="B6" s="2" t="s">
        <v>163</v>
      </c>
      <c r="C6" s="17">
        <v>38017.646113886083</v>
      </c>
      <c r="D6" s="2" t="s">
        <v>158</v>
      </c>
    </row>
    <row r="7" spans="1:6" x14ac:dyDescent="0.4">
      <c r="A7" s="2" t="s">
        <v>148</v>
      </c>
      <c r="B7" s="2" t="s">
        <v>164</v>
      </c>
      <c r="C7" s="18">
        <v>9653</v>
      </c>
      <c r="D7" s="2" t="s">
        <v>159</v>
      </c>
    </row>
    <row r="8" spans="1:6" x14ac:dyDescent="0.4">
      <c r="A8" s="2" t="s">
        <v>149</v>
      </c>
      <c r="B8" s="2" t="s">
        <v>165</v>
      </c>
      <c r="C8" s="2">
        <v>400</v>
      </c>
      <c r="D8" s="2" t="s">
        <v>233</v>
      </c>
    </row>
    <row r="9" spans="1:6" x14ac:dyDescent="0.4">
      <c r="A9" s="2" t="s">
        <v>150</v>
      </c>
      <c r="B9" s="2" t="s">
        <v>169</v>
      </c>
      <c r="C9" s="12">
        <v>7.992007992007992E-2</v>
      </c>
      <c r="D9" s="2" t="s">
        <v>160</v>
      </c>
    </row>
    <row r="10" spans="1:6" x14ac:dyDescent="0.4">
      <c r="A10" s="2" t="s">
        <v>151</v>
      </c>
      <c r="B10" s="2" t="s">
        <v>156</v>
      </c>
      <c r="C10" s="12">
        <v>0.84</v>
      </c>
      <c r="D10" s="2" t="s">
        <v>161</v>
      </c>
      <c r="F10" s="11"/>
    </row>
    <row r="11" spans="1:6" x14ac:dyDescent="0.4">
      <c r="A11" s="2" t="s">
        <v>152</v>
      </c>
      <c r="B11" s="2" t="s">
        <v>155</v>
      </c>
      <c r="C11" s="12">
        <v>0.16</v>
      </c>
      <c r="D11" s="2" t="s">
        <v>162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1FB0A-1065-48F2-8E4B-B60C6BC48AE0}">
  <dimension ref="A1:D17"/>
  <sheetViews>
    <sheetView workbookViewId="0">
      <selection activeCell="A4" sqref="A4"/>
    </sheetView>
  </sheetViews>
  <sheetFormatPr defaultRowHeight="16.8" x14ac:dyDescent="0.4"/>
  <cols>
    <col min="1" max="1" width="16.44140625" style="6" bestFit="1" customWidth="1"/>
    <col min="2" max="2" width="49.44140625" style="6" bestFit="1" customWidth="1"/>
    <col min="3" max="3" width="43.6640625" style="6" bestFit="1" customWidth="1"/>
    <col min="4" max="4" width="47.44140625" style="6" bestFit="1" customWidth="1"/>
    <col min="5" max="16384" width="8.88671875" style="6"/>
  </cols>
  <sheetData>
    <row r="1" spans="1:4" x14ac:dyDescent="0.4">
      <c r="A1" s="16" t="s">
        <v>226</v>
      </c>
      <c r="B1" s="15"/>
      <c r="C1" s="15"/>
      <c r="D1" s="15"/>
    </row>
    <row r="2" spans="1:4" x14ac:dyDescent="0.4">
      <c r="A2" s="15"/>
      <c r="B2" s="15"/>
      <c r="C2" s="15"/>
      <c r="D2" s="15"/>
    </row>
    <row r="4" spans="1:4" x14ac:dyDescent="0.4">
      <c r="A4" s="13" t="s">
        <v>170</v>
      </c>
      <c r="B4" s="13" t="s">
        <v>171</v>
      </c>
      <c r="C4" s="13" t="s">
        <v>172</v>
      </c>
      <c r="D4" s="13" t="s">
        <v>173</v>
      </c>
    </row>
    <row r="5" spans="1:4" ht="33.6" x14ac:dyDescent="0.4">
      <c r="A5" s="4" t="s">
        <v>174</v>
      </c>
      <c r="B5" s="14" t="s">
        <v>175</v>
      </c>
      <c r="C5" s="14" t="s">
        <v>176</v>
      </c>
      <c r="D5" s="14" t="s">
        <v>177</v>
      </c>
    </row>
    <row r="6" spans="1:4" ht="40.799999999999997" customHeight="1" x14ac:dyDescent="0.4">
      <c r="A6" s="4" t="s">
        <v>178</v>
      </c>
      <c r="B6" s="14" t="s">
        <v>179</v>
      </c>
      <c r="C6" s="14" t="s">
        <v>180</v>
      </c>
      <c r="D6" s="14" t="s">
        <v>181</v>
      </c>
    </row>
    <row r="7" spans="1:4" ht="33.6" x14ac:dyDescent="0.4">
      <c r="A7" s="14" t="s">
        <v>183</v>
      </c>
      <c r="B7" s="14" t="s">
        <v>211</v>
      </c>
      <c r="C7" s="14" t="s">
        <v>213</v>
      </c>
      <c r="D7" s="14" t="s">
        <v>214</v>
      </c>
    </row>
    <row r="8" spans="1:4" ht="33.6" x14ac:dyDescent="0.4">
      <c r="A8" s="14" t="s">
        <v>182</v>
      </c>
      <c r="B8" s="14" t="s">
        <v>193</v>
      </c>
      <c r="C8" s="14" t="s">
        <v>212</v>
      </c>
      <c r="D8" s="14" t="s">
        <v>215</v>
      </c>
    </row>
    <row r="9" spans="1:4" ht="27" customHeight="1" x14ac:dyDescent="0.4">
      <c r="A9" s="14" t="s">
        <v>184</v>
      </c>
      <c r="B9" s="14" t="s">
        <v>194</v>
      </c>
      <c r="C9" s="14" t="s">
        <v>199</v>
      </c>
      <c r="D9" s="14" t="s">
        <v>216</v>
      </c>
    </row>
    <row r="10" spans="1:4" ht="33.6" x14ac:dyDescent="0.4">
      <c r="A10" s="14" t="s">
        <v>185</v>
      </c>
      <c r="B10" s="14" t="s">
        <v>196</v>
      </c>
      <c r="C10" s="14" t="s">
        <v>200</v>
      </c>
      <c r="D10" s="14" t="s">
        <v>217</v>
      </c>
    </row>
    <row r="11" spans="1:4" ht="33.6" x14ac:dyDescent="0.4">
      <c r="A11" s="14" t="s">
        <v>186</v>
      </c>
      <c r="B11" s="14" t="s">
        <v>197</v>
      </c>
      <c r="C11" s="14" t="s">
        <v>204</v>
      </c>
      <c r="D11" s="14" t="s">
        <v>218</v>
      </c>
    </row>
    <row r="12" spans="1:4" ht="33.6" x14ac:dyDescent="0.4">
      <c r="A12" s="14" t="s">
        <v>187</v>
      </c>
      <c r="B12" s="14" t="s">
        <v>225</v>
      </c>
      <c r="C12" s="14" t="s">
        <v>205</v>
      </c>
      <c r="D12" s="14" t="s">
        <v>219</v>
      </c>
    </row>
    <row r="13" spans="1:4" ht="33.6" x14ac:dyDescent="0.4">
      <c r="A13" s="14" t="s">
        <v>188</v>
      </c>
      <c r="B13" s="14" t="s">
        <v>198</v>
      </c>
      <c r="C13" s="14" t="s">
        <v>201</v>
      </c>
      <c r="D13" s="14" t="s">
        <v>220</v>
      </c>
    </row>
    <row r="14" spans="1:4" ht="33.6" x14ac:dyDescent="0.4">
      <c r="A14" s="14" t="s">
        <v>189</v>
      </c>
      <c r="B14" s="14" t="s">
        <v>209</v>
      </c>
      <c r="C14" s="14" t="s">
        <v>206</v>
      </c>
      <c r="D14" s="14" t="s">
        <v>221</v>
      </c>
    </row>
    <row r="15" spans="1:4" ht="33.6" x14ac:dyDescent="0.4">
      <c r="A15" s="14" t="s">
        <v>191</v>
      </c>
      <c r="B15" s="14" t="s">
        <v>210</v>
      </c>
      <c r="C15" s="14" t="s">
        <v>202</v>
      </c>
      <c r="D15" s="14" t="s">
        <v>222</v>
      </c>
    </row>
    <row r="16" spans="1:4" ht="33.6" x14ac:dyDescent="0.4">
      <c r="A16" s="14" t="s">
        <v>192</v>
      </c>
      <c r="B16" s="14" t="s">
        <v>208</v>
      </c>
      <c r="C16" s="14" t="s">
        <v>207</v>
      </c>
      <c r="D16" s="14" t="s">
        <v>223</v>
      </c>
    </row>
    <row r="17" spans="1:4" ht="33.6" x14ac:dyDescent="0.4">
      <c r="A17" s="14" t="s">
        <v>190</v>
      </c>
      <c r="B17" s="14" t="s">
        <v>195</v>
      </c>
      <c r="C17" s="14" t="s">
        <v>203</v>
      </c>
      <c r="D17" s="14" t="s">
        <v>224</v>
      </c>
    </row>
  </sheetData>
  <mergeCells count="1">
    <mergeCell ref="A1:D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Data_Dictionary</vt:lpstr>
      <vt:lpstr>Data_Quality_Check</vt:lpstr>
      <vt:lpstr>Basic_KPI_Check</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Kaushal Vyas</dc:creator>
  <cp:lastModifiedBy>Kaushal Vyas</cp:lastModifiedBy>
  <dcterms:created xsi:type="dcterms:W3CDTF">2026-06-11T05:32:35Z</dcterms:created>
  <dcterms:modified xsi:type="dcterms:W3CDTF">2026-06-12T10:02:16Z</dcterms:modified>
</cp:coreProperties>
</file>